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CM_KS26_CNTT_IT_108_SS12\BAI1\"/>
    </mc:Choice>
  </mc:AlternateContent>
  <xr:revisionPtr revIDLastSave="0" documentId="8_{2353933F-ECAE-4A4B-867D-B0CC907E4D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iaoDich" sheetId="1" r:id="rId1"/>
    <sheet name="TraCuu" sheetId="2" r:id="rId2"/>
    <sheet name="TongHop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3" l="1"/>
  <c r="B16" i="3"/>
  <c r="B15" i="3"/>
  <c r="B14" i="3"/>
  <c r="B13" i="3"/>
  <c r="B10" i="3"/>
  <c r="B9" i="3"/>
  <c r="B8" i="3"/>
  <c r="B7" i="3"/>
  <c r="C4" i="3"/>
  <c r="B4" i="3"/>
  <c r="D4" i="3" s="1"/>
  <c r="C3" i="3"/>
  <c r="B3" i="3"/>
  <c r="D3" i="3" s="1"/>
  <c r="C2" i="3"/>
  <c r="B2" i="3"/>
  <c r="D2" i="3" s="1"/>
  <c r="J25" i="1"/>
  <c r="I25" i="1"/>
  <c r="D25" i="1"/>
  <c r="B25" i="1"/>
  <c r="I24" i="1"/>
  <c r="D24" i="1"/>
  <c r="B24" i="1"/>
  <c r="J24" i="1" s="1"/>
  <c r="J23" i="1"/>
  <c r="I23" i="1"/>
  <c r="D23" i="1"/>
  <c r="B23" i="1"/>
  <c r="I22" i="1"/>
  <c r="D22" i="1"/>
  <c r="B22" i="1"/>
  <c r="J22" i="1" s="1"/>
  <c r="I21" i="1"/>
  <c r="D21" i="1"/>
  <c r="B21" i="1"/>
  <c r="J21" i="1" s="1"/>
  <c r="I20" i="1"/>
  <c r="D20" i="1"/>
  <c r="B20" i="1"/>
  <c r="J20" i="1" s="1"/>
  <c r="I19" i="1"/>
  <c r="D19" i="1"/>
  <c r="B19" i="1"/>
  <c r="J19" i="1" s="1"/>
  <c r="I18" i="1"/>
  <c r="D18" i="1"/>
  <c r="B18" i="1"/>
  <c r="J18" i="1" s="1"/>
  <c r="I17" i="1"/>
  <c r="D17" i="1"/>
  <c r="B17" i="1"/>
  <c r="J17" i="1" s="1"/>
  <c r="J16" i="1"/>
  <c r="I16" i="1"/>
  <c r="D16" i="1"/>
  <c r="B16" i="1"/>
  <c r="I15" i="1"/>
  <c r="D15" i="1"/>
  <c r="B15" i="1"/>
  <c r="J15" i="1" s="1"/>
  <c r="I14" i="1"/>
  <c r="D14" i="1"/>
  <c r="B14" i="1"/>
  <c r="J14" i="1" s="1"/>
  <c r="I13" i="1"/>
  <c r="D13" i="1"/>
  <c r="B13" i="1"/>
  <c r="J13" i="1" s="1"/>
  <c r="I12" i="1"/>
  <c r="D12" i="1"/>
  <c r="B12" i="1"/>
  <c r="J12" i="1" s="1"/>
  <c r="I11" i="1"/>
  <c r="D11" i="1"/>
  <c r="B11" i="1"/>
  <c r="J11" i="1" s="1"/>
  <c r="I10" i="1"/>
  <c r="D10" i="1"/>
  <c r="B10" i="1"/>
  <c r="J10" i="1" s="1"/>
  <c r="I9" i="1"/>
  <c r="D9" i="1"/>
  <c r="B9" i="1"/>
  <c r="J9" i="1" s="1"/>
  <c r="I8" i="1"/>
  <c r="D8" i="1"/>
  <c r="B8" i="1"/>
  <c r="J8" i="1" s="1"/>
  <c r="I7" i="1"/>
  <c r="D7" i="1"/>
  <c r="B7" i="1"/>
  <c r="J7" i="1" s="1"/>
  <c r="I6" i="1"/>
  <c r="D6" i="1"/>
  <c r="B6" i="1"/>
  <c r="J6" i="1" s="1"/>
  <c r="I5" i="1"/>
  <c r="D5" i="1"/>
  <c r="B5" i="1"/>
  <c r="J5" i="1" s="1"/>
  <c r="I4" i="1"/>
  <c r="D4" i="1"/>
  <c r="B4" i="1"/>
  <c r="J4" i="1" s="1"/>
  <c r="I3" i="1"/>
  <c r="D3" i="1"/>
  <c r="B3" i="1"/>
  <c r="J3" i="1" s="1"/>
  <c r="I2" i="1"/>
  <c r="D2" i="1"/>
  <c r="B2" i="1"/>
  <c r="J2" i="1" s="1"/>
</calcChain>
</file>

<file path=xl/sharedStrings.xml><?xml version="1.0" encoding="utf-8"?>
<sst xmlns="http://schemas.openxmlformats.org/spreadsheetml/2006/main" count="149" uniqueCount="67">
  <si>
    <t>Ma_GD</t>
  </si>
  <si>
    <t>Ma_GD_TRIM</t>
  </si>
  <si>
    <t>Ngay_GD</t>
  </si>
  <si>
    <t>Thang</t>
  </si>
  <si>
    <t>Loai_GD</t>
  </si>
  <si>
    <t>Ngan_Hang</t>
  </si>
  <si>
    <t>Phi_DV</t>
  </si>
  <si>
    <t>Phi_NH</t>
  </si>
  <si>
    <t>Lai_Rong</t>
  </si>
  <si>
    <t>Ten_Nguoi_Dung</t>
  </si>
  <si>
    <t>PK2608-0002</t>
  </si>
  <si>
    <t>Chuyển tiền</t>
  </si>
  <si>
    <t>BIDV</t>
  </si>
  <si>
    <t>PK2608-0004</t>
  </si>
  <si>
    <t>Nạp ví từ ngân hàng</t>
  </si>
  <si>
    <t>Techcombank</t>
  </si>
  <si>
    <t>PK2608-0003</t>
  </si>
  <si>
    <t>Vietcombank</t>
  </si>
  <si>
    <t>PK2608-0001</t>
  </si>
  <si>
    <t>PK2608-0007</t>
  </si>
  <si>
    <t>MB Bank</t>
  </si>
  <si>
    <t>PK2608-0008</t>
  </si>
  <si>
    <t>Nạp điện thoại</t>
  </si>
  <si>
    <t>PK2608-0005</t>
  </si>
  <si>
    <t xml:space="preserve"> PK2608-0006</t>
  </si>
  <si>
    <t>PK2609-0013</t>
  </si>
  <si>
    <t>Thanh toán học phí</t>
  </si>
  <si>
    <t>PK2609-0010</t>
  </si>
  <si>
    <t xml:space="preserve">PK2609-0012 </t>
  </si>
  <si>
    <t>PK2609-0011</t>
  </si>
  <si>
    <t>PK2609-0014</t>
  </si>
  <si>
    <t xml:space="preserve">PK2609-0009 </t>
  </si>
  <si>
    <t>PK2609-0016</t>
  </si>
  <si>
    <t>PK2609-0015</t>
  </si>
  <si>
    <t>PK2610-0022</t>
  </si>
  <si>
    <t>PK2610-0024</t>
  </si>
  <si>
    <t xml:space="preserve">PK2610-0020 </t>
  </si>
  <si>
    <t xml:space="preserve">PK2610-0019 </t>
  </si>
  <si>
    <t>PK2610-0023</t>
  </si>
  <si>
    <t xml:space="preserve"> PK2610-0017</t>
  </si>
  <si>
    <t>PK2610-0018</t>
  </si>
  <si>
    <t xml:space="preserve">PK2610-0021  </t>
  </si>
  <si>
    <t>Đặng Ngọc Linh</t>
  </si>
  <si>
    <t>Lương Bích Ngọc</t>
  </si>
  <si>
    <t>Huỳnh Thanh Hằng</t>
  </si>
  <si>
    <t>Tạ Văn Long</t>
  </si>
  <si>
    <t>Đinh Công Sơn</t>
  </si>
  <si>
    <t>Nguyễn Thị Hồng Nhung</t>
  </si>
  <si>
    <t>Hoàng Thu Trang</t>
  </si>
  <si>
    <t>PK2608-0006</t>
  </si>
  <si>
    <t>Thái Hoài An</t>
  </si>
  <si>
    <t>Chu Ngọc Hân</t>
  </si>
  <si>
    <t>PK2609-0012</t>
  </si>
  <si>
    <t>Võ Anh Khoa</t>
  </si>
  <si>
    <t>Lâm Gia Bảo</t>
  </si>
  <si>
    <t>Kiều Anh Thư</t>
  </si>
  <si>
    <t>PK2609-0009</t>
  </si>
  <si>
    <t>Lý Hoàng Nam</t>
  </si>
  <si>
    <t>Tô Diệu Linh</t>
  </si>
  <si>
    <t>PK2610-0020</t>
  </si>
  <si>
    <t>PK2610-0019</t>
  </si>
  <si>
    <t>PK2610-0017</t>
  </si>
  <si>
    <t>Mai Thùy Dương</t>
  </si>
  <si>
    <t>PK2610-0021</t>
  </si>
  <si>
    <t>Lê Thị Cẩm Tú</t>
  </si>
  <si>
    <t>Doanh_Thu</t>
  </si>
  <si>
    <t>So_ma_thua_khoang_trang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</si>
</sst>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/>
  </sheetViews>
  <sheetFormatPr defaultColWidth="8.6640625" defaultRowHeight="14.4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tr">
        <f t="shared" ref="B2:B25" si="0">TRIM(A2)</f>
        <v>PK2608-0002</v>
      </c>
      <c r="C2" s="2">
        <v>46237</v>
      </c>
      <c r="D2">
        <f t="shared" ref="D2:D25" si="1">MONTH(C2)</f>
        <v>8</v>
      </c>
      <c r="E2" t="s">
        <v>11</v>
      </c>
      <c r="F2" t="s">
        <v>12</v>
      </c>
      <c r="G2" s="3">
        <v>3000</v>
      </c>
      <c r="H2" s="3">
        <v>1900</v>
      </c>
      <c r="I2" s="3">
        <f t="shared" ref="I2:I25" si="2">G2-H2</f>
        <v>1100</v>
      </c>
      <c r="J2" t="str">
        <f>VLOOKUP(B2,TraCuu!$A$2:$B$25,2,FALSE())</f>
        <v>Đặng Ngọc Linh</v>
      </c>
    </row>
    <row r="3" spans="1:10" x14ac:dyDescent="0.3">
      <c r="A3" t="s">
        <v>13</v>
      </c>
      <c r="B3" t="str">
        <f t="shared" si="0"/>
        <v>PK2608-0004</v>
      </c>
      <c r="C3" s="2">
        <v>46237</v>
      </c>
      <c r="D3">
        <f t="shared" si="1"/>
        <v>8</v>
      </c>
      <c r="E3" t="s">
        <v>14</v>
      </c>
      <c r="F3" t="s">
        <v>15</v>
      </c>
      <c r="G3" s="3">
        <v>1100</v>
      </c>
      <c r="H3" s="3">
        <v>2300</v>
      </c>
      <c r="I3" s="3">
        <f t="shared" si="2"/>
        <v>-1200</v>
      </c>
      <c r="J3" t="str">
        <f>VLOOKUP(B3,TraCuu!$A$2:$B$25,2,FALSE())</f>
        <v>Lương Bích Ngọc</v>
      </c>
    </row>
    <row r="4" spans="1:10" x14ac:dyDescent="0.3">
      <c r="A4" t="s">
        <v>16</v>
      </c>
      <c r="B4" t="str">
        <f t="shared" si="0"/>
        <v>PK2608-0003</v>
      </c>
      <c r="C4" s="2">
        <v>46239</v>
      </c>
      <c r="D4">
        <f t="shared" si="1"/>
        <v>8</v>
      </c>
      <c r="E4" t="s">
        <v>14</v>
      </c>
      <c r="F4" t="s">
        <v>17</v>
      </c>
      <c r="G4" s="3">
        <v>2900</v>
      </c>
      <c r="H4" s="3">
        <v>4400</v>
      </c>
      <c r="I4" s="3">
        <f t="shared" si="2"/>
        <v>-1500</v>
      </c>
      <c r="J4" t="str">
        <f>VLOOKUP(B4,TraCuu!$A$2:$B$25,2,FALSE())</f>
        <v>Huỳnh Thanh Hằng</v>
      </c>
    </row>
    <row r="5" spans="1:10" x14ac:dyDescent="0.3">
      <c r="A5" t="s">
        <v>18</v>
      </c>
      <c r="B5" t="str">
        <f t="shared" si="0"/>
        <v>PK2608-0001</v>
      </c>
      <c r="C5" s="2">
        <v>46242</v>
      </c>
      <c r="D5">
        <f t="shared" si="1"/>
        <v>8</v>
      </c>
      <c r="E5" t="s">
        <v>11</v>
      </c>
      <c r="F5" t="s">
        <v>12</v>
      </c>
      <c r="G5" s="3">
        <v>11200</v>
      </c>
      <c r="H5" s="3">
        <v>7200</v>
      </c>
      <c r="I5" s="3">
        <f t="shared" si="2"/>
        <v>4000</v>
      </c>
      <c r="J5" t="str">
        <f>VLOOKUP(B5,TraCuu!$A$2:$B$25,2,FALSE())</f>
        <v>Tạ Văn Long</v>
      </c>
    </row>
    <row r="6" spans="1:10" x14ac:dyDescent="0.3">
      <c r="A6" t="s">
        <v>19</v>
      </c>
      <c r="B6" t="str">
        <f t="shared" si="0"/>
        <v>PK2608-0007</v>
      </c>
      <c r="C6" s="2">
        <v>46248</v>
      </c>
      <c r="D6">
        <f t="shared" si="1"/>
        <v>8</v>
      </c>
      <c r="E6" t="s">
        <v>14</v>
      </c>
      <c r="F6" t="s">
        <v>20</v>
      </c>
      <c r="G6" s="3">
        <v>2500</v>
      </c>
      <c r="H6" s="3">
        <v>3500</v>
      </c>
      <c r="I6" s="3">
        <f t="shared" si="2"/>
        <v>-1000</v>
      </c>
      <c r="J6" t="str">
        <f>VLOOKUP(B6,TraCuu!$A$2:$B$25,2,FALSE())</f>
        <v>Đinh Công Sơn</v>
      </c>
    </row>
    <row r="7" spans="1:10" x14ac:dyDescent="0.3">
      <c r="A7" t="s">
        <v>21</v>
      </c>
      <c r="B7" t="str">
        <f t="shared" si="0"/>
        <v>PK2608-0008</v>
      </c>
      <c r="C7" s="2">
        <v>46249</v>
      </c>
      <c r="D7">
        <f t="shared" si="1"/>
        <v>8</v>
      </c>
      <c r="E7" t="s">
        <v>22</v>
      </c>
      <c r="F7" t="s">
        <v>15</v>
      </c>
      <c r="G7" s="3">
        <v>19600</v>
      </c>
      <c r="H7" s="3">
        <v>2100</v>
      </c>
      <c r="I7" s="3">
        <f t="shared" si="2"/>
        <v>17500</v>
      </c>
      <c r="J7" t="str">
        <f>VLOOKUP(B7,TraCuu!$A$2:$B$25,2,FALSE())</f>
        <v>Nguyễn Thị Hồng Nhung</v>
      </c>
    </row>
    <row r="8" spans="1:10" x14ac:dyDescent="0.3">
      <c r="A8" t="s">
        <v>23</v>
      </c>
      <c r="B8" t="str">
        <f t="shared" si="0"/>
        <v>PK2608-0005</v>
      </c>
      <c r="C8" s="2">
        <v>46258</v>
      </c>
      <c r="D8">
        <f t="shared" si="1"/>
        <v>8</v>
      </c>
      <c r="E8" t="s">
        <v>14</v>
      </c>
      <c r="F8" t="s">
        <v>15</v>
      </c>
      <c r="G8" s="3">
        <v>3000</v>
      </c>
      <c r="H8" s="3">
        <v>6300</v>
      </c>
      <c r="I8" s="3">
        <f t="shared" si="2"/>
        <v>-3300</v>
      </c>
      <c r="J8" t="str">
        <f>VLOOKUP(B8,TraCuu!$A$2:$B$25,2,FALSE())</f>
        <v>Hoàng Thu Trang</v>
      </c>
    </row>
    <row r="9" spans="1:10" x14ac:dyDescent="0.3">
      <c r="A9" t="s">
        <v>24</v>
      </c>
      <c r="B9" t="str">
        <f t="shared" si="0"/>
        <v>PK2608-0006</v>
      </c>
      <c r="C9" s="2">
        <v>46262</v>
      </c>
      <c r="D9">
        <f t="shared" si="1"/>
        <v>8</v>
      </c>
      <c r="E9" t="s">
        <v>14</v>
      </c>
      <c r="F9" t="s">
        <v>15</v>
      </c>
      <c r="G9" s="3">
        <v>2400</v>
      </c>
      <c r="H9" s="3">
        <v>5000</v>
      </c>
      <c r="I9" s="3">
        <f t="shared" si="2"/>
        <v>-2600</v>
      </c>
      <c r="J9" t="str">
        <f>VLOOKUP(B9,TraCuu!$A$2:$B$25,2,FALSE())</f>
        <v>Thái Hoài An</v>
      </c>
    </row>
    <row r="10" spans="1:10" x14ac:dyDescent="0.3">
      <c r="A10" t="s">
        <v>25</v>
      </c>
      <c r="B10" t="str">
        <f t="shared" si="0"/>
        <v>PK2609-0013</v>
      </c>
      <c r="C10" s="2">
        <v>46266</v>
      </c>
      <c r="D10">
        <f t="shared" si="1"/>
        <v>9</v>
      </c>
      <c r="E10" t="s">
        <v>26</v>
      </c>
      <c r="F10" t="s">
        <v>20</v>
      </c>
      <c r="G10" s="3">
        <v>41400</v>
      </c>
      <c r="H10" s="3">
        <v>19300</v>
      </c>
      <c r="I10" s="3">
        <f t="shared" si="2"/>
        <v>22100</v>
      </c>
      <c r="J10" t="str">
        <f>VLOOKUP(B10,TraCuu!$A$2:$B$25,2,FALSE())</f>
        <v>Chu Ngọc Hân</v>
      </c>
    </row>
    <row r="11" spans="1:10" x14ac:dyDescent="0.3">
      <c r="A11" t="s">
        <v>27</v>
      </c>
      <c r="B11" t="str">
        <f t="shared" si="0"/>
        <v>PK2609-0010</v>
      </c>
      <c r="C11" s="2">
        <v>46277</v>
      </c>
      <c r="D11">
        <f t="shared" si="1"/>
        <v>9</v>
      </c>
      <c r="E11" t="s">
        <v>22</v>
      </c>
      <c r="F11" t="s">
        <v>15</v>
      </c>
      <c r="G11" s="3">
        <v>8400</v>
      </c>
      <c r="H11" s="3">
        <v>900</v>
      </c>
      <c r="I11" s="3">
        <f t="shared" si="2"/>
        <v>7500</v>
      </c>
      <c r="J11" t="str">
        <f>VLOOKUP(B11,TraCuu!$A$2:$B$25,2,FALSE())</f>
        <v>Huỳnh Thanh Hằng</v>
      </c>
    </row>
    <row r="12" spans="1:10" x14ac:dyDescent="0.3">
      <c r="A12" t="s">
        <v>28</v>
      </c>
      <c r="B12" t="str">
        <f t="shared" si="0"/>
        <v>PK2609-0012</v>
      </c>
      <c r="C12" s="2">
        <v>46277</v>
      </c>
      <c r="D12">
        <f t="shared" si="1"/>
        <v>9</v>
      </c>
      <c r="E12" t="s">
        <v>11</v>
      </c>
      <c r="F12" t="s">
        <v>12</v>
      </c>
      <c r="G12" s="3">
        <v>12000</v>
      </c>
      <c r="H12" s="3">
        <v>7700</v>
      </c>
      <c r="I12" s="3">
        <f t="shared" si="2"/>
        <v>4300</v>
      </c>
      <c r="J12" t="str">
        <f>VLOOKUP(B12,TraCuu!$A$2:$B$25,2,FALSE())</f>
        <v>Võ Anh Khoa</v>
      </c>
    </row>
    <row r="13" spans="1:10" x14ac:dyDescent="0.3">
      <c r="A13" t="s">
        <v>29</v>
      </c>
      <c r="B13" t="str">
        <f t="shared" si="0"/>
        <v>PK2609-0011</v>
      </c>
      <c r="C13" s="2">
        <v>46281</v>
      </c>
      <c r="D13">
        <f t="shared" si="1"/>
        <v>9</v>
      </c>
      <c r="E13" t="s">
        <v>11</v>
      </c>
      <c r="F13" t="s">
        <v>12</v>
      </c>
      <c r="G13" s="3">
        <v>10000</v>
      </c>
      <c r="H13" s="3">
        <v>6400</v>
      </c>
      <c r="I13" s="3">
        <f t="shared" si="2"/>
        <v>3600</v>
      </c>
      <c r="J13" t="str">
        <f>VLOOKUP(B13,TraCuu!$A$2:$B$25,2,FALSE())</f>
        <v>Lâm Gia Bảo</v>
      </c>
    </row>
    <row r="14" spans="1:10" x14ac:dyDescent="0.3">
      <c r="A14" t="s">
        <v>30</v>
      </c>
      <c r="B14" t="str">
        <f t="shared" si="0"/>
        <v>PK2609-0014</v>
      </c>
      <c r="C14" s="2">
        <v>46281</v>
      </c>
      <c r="D14">
        <f t="shared" si="1"/>
        <v>9</v>
      </c>
      <c r="E14" t="s">
        <v>14</v>
      </c>
      <c r="F14" t="s">
        <v>12</v>
      </c>
      <c r="G14" s="3">
        <v>1100</v>
      </c>
      <c r="H14" s="3">
        <v>1800</v>
      </c>
      <c r="I14" s="3">
        <f t="shared" si="2"/>
        <v>-700</v>
      </c>
      <c r="J14" t="str">
        <f>VLOOKUP(B14,TraCuu!$A$2:$B$25,2,FALSE())</f>
        <v>Kiều Anh Thư</v>
      </c>
    </row>
    <row r="15" spans="1:10" x14ac:dyDescent="0.3">
      <c r="A15" t="s">
        <v>31</v>
      </c>
      <c r="B15" t="str">
        <f t="shared" si="0"/>
        <v>PK2609-0009</v>
      </c>
      <c r="C15" s="2">
        <v>46283</v>
      </c>
      <c r="D15">
        <f t="shared" si="1"/>
        <v>9</v>
      </c>
      <c r="E15" t="s">
        <v>14</v>
      </c>
      <c r="F15" t="s">
        <v>20</v>
      </c>
      <c r="G15" s="3">
        <v>3000</v>
      </c>
      <c r="H15" s="3">
        <v>4200</v>
      </c>
      <c r="I15" s="3">
        <f t="shared" si="2"/>
        <v>-1200</v>
      </c>
      <c r="J15" t="str">
        <f>VLOOKUP(B15,TraCuu!$A$2:$B$25,2,FALSE())</f>
        <v>Đặng Ngọc Linh</v>
      </c>
    </row>
    <row r="16" spans="1:10" x14ac:dyDescent="0.3">
      <c r="A16" t="s">
        <v>32</v>
      </c>
      <c r="B16" t="str">
        <f t="shared" si="0"/>
        <v>PK2609-0016</v>
      </c>
      <c r="C16" s="2">
        <v>46288</v>
      </c>
      <c r="D16">
        <f t="shared" si="1"/>
        <v>9</v>
      </c>
      <c r="E16" t="s">
        <v>11</v>
      </c>
      <c r="F16" t="s">
        <v>15</v>
      </c>
      <c r="G16" s="3">
        <v>4000</v>
      </c>
      <c r="H16" s="3">
        <v>3400</v>
      </c>
      <c r="I16" s="3">
        <f t="shared" si="2"/>
        <v>600</v>
      </c>
      <c r="J16" t="str">
        <f>VLOOKUP(B16,TraCuu!$A$2:$B$25,2,FALSE())</f>
        <v>Lý Hoàng Nam</v>
      </c>
    </row>
    <row r="17" spans="1:10" x14ac:dyDescent="0.3">
      <c r="A17" t="s">
        <v>33</v>
      </c>
      <c r="B17" t="str">
        <f t="shared" si="0"/>
        <v>PK2609-0015</v>
      </c>
      <c r="C17" s="2">
        <v>46289</v>
      </c>
      <c r="D17">
        <f t="shared" si="1"/>
        <v>9</v>
      </c>
      <c r="E17" t="s">
        <v>11</v>
      </c>
      <c r="F17" t="s">
        <v>15</v>
      </c>
      <c r="G17" s="3">
        <v>3500</v>
      </c>
      <c r="H17" s="3">
        <v>2900</v>
      </c>
      <c r="I17" s="3">
        <f t="shared" si="2"/>
        <v>600</v>
      </c>
      <c r="J17" t="str">
        <f>VLOOKUP(B17,TraCuu!$A$2:$B$25,2,FALSE())</f>
        <v>Tạ Văn Long</v>
      </c>
    </row>
    <row r="18" spans="1:10" x14ac:dyDescent="0.3">
      <c r="A18" t="s">
        <v>34</v>
      </c>
      <c r="B18" t="str">
        <f t="shared" si="0"/>
        <v>PK2610-0022</v>
      </c>
      <c r="C18" s="2">
        <v>46299</v>
      </c>
      <c r="D18">
        <f t="shared" si="1"/>
        <v>10</v>
      </c>
      <c r="E18" t="s">
        <v>11</v>
      </c>
      <c r="F18" t="s">
        <v>12</v>
      </c>
      <c r="G18" s="3">
        <v>5800</v>
      </c>
      <c r="H18" s="3">
        <v>3700</v>
      </c>
      <c r="I18" s="3">
        <f t="shared" si="2"/>
        <v>2100</v>
      </c>
      <c r="J18" t="str">
        <f>VLOOKUP(B18,TraCuu!$A$2:$B$25,2,FALSE())</f>
        <v>Chu Ngọc Hân</v>
      </c>
    </row>
    <row r="19" spans="1:10" x14ac:dyDescent="0.3">
      <c r="A19" t="s">
        <v>35</v>
      </c>
      <c r="B19" t="str">
        <f t="shared" si="0"/>
        <v>PK2610-0024</v>
      </c>
      <c r="C19" s="2">
        <v>46300</v>
      </c>
      <c r="D19">
        <f t="shared" si="1"/>
        <v>10</v>
      </c>
      <c r="E19" t="s">
        <v>22</v>
      </c>
      <c r="F19" t="s">
        <v>15</v>
      </c>
      <c r="G19" s="3">
        <v>10400</v>
      </c>
      <c r="H19" s="3">
        <v>1100</v>
      </c>
      <c r="I19" s="3">
        <f t="shared" si="2"/>
        <v>9300</v>
      </c>
      <c r="J19" t="str">
        <f>VLOOKUP(B19,TraCuu!$A$2:$B$25,2,FALSE())</f>
        <v>Tô Diệu Linh</v>
      </c>
    </row>
    <row r="20" spans="1:10" x14ac:dyDescent="0.3">
      <c r="A20" t="s">
        <v>36</v>
      </c>
      <c r="B20" t="str">
        <f t="shared" si="0"/>
        <v>PK2610-0020</v>
      </c>
      <c r="C20" s="2">
        <v>46301</v>
      </c>
      <c r="D20">
        <f t="shared" si="1"/>
        <v>10</v>
      </c>
      <c r="E20" t="s">
        <v>26</v>
      </c>
      <c r="F20" t="s">
        <v>17</v>
      </c>
      <c r="G20" s="3">
        <v>28800</v>
      </c>
      <c r="H20" s="3">
        <v>14400</v>
      </c>
      <c r="I20" s="3">
        <f t="shared" si="2"/>
        <v>14400</v>
      </c>
      <c r="J20" t="str">
        <f>VLOOKUP(B20,TraCuu!$A$2:$B$25,2,FALSE())</f>
        <v>Đinh Công Sơn</v>
      </c>
    </row>
    <row r="21" spans="1:10" x14ac:dyDescent="0.3">
      <c r="A21" t="s">
        <v>37</v>
      </c>
      <c r="B21" t="str">
        <f t="shared" si="0"/>
        <v>PK2610-0019</v>
      </c>
      <c r="C21" s="2">
        <v>46305</v>
      </c>
      <c r="D21">
        <f t="shared" si="1"/>
        <v>10</v>
      </c>
      <c r="E21" t="s">
        <v>11</v>
      </c>
      <c r="F21" t="s">
        <v>15</v>
      </c>
      <c r="G21" s="3">
        <v>3800</v>
      </c>
      <c r="H21" s="3">
        <v>3200</v>
      </c>
      <c r="I21" s="3">
        <f t="shared" si="2"/>
        <v>600</v>
      </c>
      <c r="J21" t="str">
        <f>VLOOKUP(B21,TraCuu!$A$2:$B$25,2,FALSE())</f>
        <v>Lương Bích Ngọc</v>
      </c>
    </row>
    <row r="22" spans="1:10" x14ac:dyDescent="0.3">
      <c r="A22" t="s">
        <v>38</v>
      </c>
      <c r="B22" t="str">
        <f t="shared" si="0"/>
        <v>PK2610-0023</v>
      </c>
      <c r="C22" s="2">
        <v>46312</v>
      </c>
      <c r="D22">
        <f t="shared" si="1"/>
        <v>10</v>
      </c>
      <c r="E22" t="s">
        <v>22</v>
      </c>
      <c r="F22" t="s">
        <v>17</v>
      </c>
      <c r="G22" s="3">
        <v>14000</v>
      </c>
      <c r="H22" s="3">
        <v>1000</v>
      </c>
      <c r="I22" s="3">
        <f t="shared" si="2"/>
        <v>13000</v>
      </c>
      <c r="J22" t="str">
        <f>VLOOKUP(B22,TraCuu!$A$2:$B$25,2,FALSE())</f>
        <v>Kiều Anh Thư</v>
      </c>
    </row>
    <row r="23" spans="1:10" x14ac:dyDescent="0.3">
      <c r="A23" t="s">
        <v>39</v>
      </c>
      <c r="B23" t="str">
        <f t="shared" si="0"/>
        <v>PK2610-0017</v>
      </c>
      <c r="C23" s="2">
        <v>46315</v>
      </c>
      <c r="D23">
        <f t="shared" si="1"/>
        <v>10</v>
      </c>
      <c r="E23" t="s">
        <v>11</v>
      </c>
      <c r="F23" t="s">
        <v>12</v>
      </c>
      <c r="G23" s="3">
        <v>12200</v>
      </c>
      <c r="H23" s="3">
        <v>7800</v>
      </c>
      <c r="I23" s="3">
        <f t="shared" si="2"/>
        <v>4400</v>
      </c>
      <c r="J23" t="str">
        <f>VLOOKUP(B23,TraCuu!$A$2:$B$25,2,FALSE())</f>
        <v>Mai Thùy Dương</v>
      </c>
    </row>
    <row r="24" spans="1:10" x14ac:dyDescent="0.3">
      <c r="A24" t="s">
        <v>40</v>
      </c>
      <c r="B24" t="str">
        <f t="shared" si="0"/>
        <v>PK2610-0018</v>
      </c>
      <c r="C24" s="2">
        <v>46318</v>
      </c>
      <c r="D24">
        <f t="shared" si="1"/>
        <v>10</v>
      </c>
      <c r="E24" t="s">
        <v>22</v>
      </c>
      <c r="F24" t="s">
        <v>17</v>
      </c>
      <c r="G24" s="3">
        <v>16800</v>
      </c>
      <c r="H24" s="3">
        <v>1300</v>
      </c>
      <c r="I24" s="3">
        <f t="shared" si="2"/>
        <v>15500</v>
      </c>
      <c r="J24" t="str">
        <f>VLOOKUP(B24,TraCuu!$A$2:$B$25,2,FALSE())</f>
        <v>Lý Hoàng Nam</v>
      </c>
    </row>
    <row r="25" spans="1:10" x14ac:dyDescent="0.3">
      <c r="A25" t="s">
        <v>41</v>
      </c>
      <c r="B25" t="str">
        <f t="shared" si="0"/>
        <v>PK2610-0021</v>
      </c>
      <c r="C25" s="2">
        <v>46322</v>
      </c>
      <c r="D25">
        <f t="shared" si="1"/>
        <v>10</v>
      </c>
      <c r="E25" t="s">
        <v>11</v>
      </c>
      <c r="F25" t="s">
        <v>17</v>
      </c>
      <c r="G25" s="3">
        <v>8000</v>
      </c>
      <c r="H25" s="3">
        <v>4800</v>
      </c>
      <c r="I25" s="3">
        <f t="shared" si="2"/>
        <v>3200</v>
      </c>
      <c r="J25" t="str">
        <f>VLOOKUP(B25,TraCuu!$A$2:$B$25,2,FALSE())</f>
        <v>Lê Thị Cẩm Tú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Normal="100" workbookViewId="0"/>
  </sheetViews>
  <sheetFormatPr defaultColWidth="8.6640625" defaultRowHeight="14.4" x14ac:dyDescent="0.3"/>
  <cols>
    <col min="1" max="10" width="20" customWidth="1"/>
  </cols>
  <sheetData>
    <row r="1" spans="1:2" x14ac:dyDescent="0.3">
      <c r="A1" s="1" t="s">
        <v>0</v>
      </c>
      <c r="B1" s="1" t="s">
        <v>9</v>
      </c>
    </row>
    <row r="2" spans="1:2" x14ac:dyDescent="0.3">
      <c r="A2" t="s">
        <v>10</v>
      </c>
      <c r="B2" t="s">
        <v>42</v>
      </c>
    </row>
    <row r="3" spans="1:2" x14ac:dyDescent="0.3">
      <c r="A3" t="s">
        <v>13</v>
      </c>
      <c r="B3" t="s">
        <v>43</v>
      </c>
    </row>
    <row r="4" spans="1:2" x14ac:dyDescent="0.3">
      <c r="A4" t="s">
        <v>16</v>
      </c>
      <c r="B4" t="s">
        <v>44</v>
      </c>
    </row>
    <row r="5" spans="1:2" x14ac:dyDescent="0.3">
      <c r="A5" t="s">
        <v>18</v>
      </c>
      <c r="B5" t="s">
        <v>45</v>
      </c>
    </row>
    <row r="6" spans="1:2" x14ac:dyDescent="0.3">
      <c r="A6" t="s">
        <v>19</v>
      </c>
      <c r="B6" t="s">
        <v>46</v>
      </c>
    </row>
    <row r="7" spans="1:2" x14ac:dyDescent="0.3">
      <c r="A7" t="s">
        <v>21</v>
      </c>
      <c r="B7" t="s">
        <v>47</v>
      </c>
    </row>
    <row r="8" spans="1:2" x14ac:dyDescent="0.3">
      <c r="A8" t="s">
        <v>23</v>
      </c>
      <c r="B8" t="s">
        <v>48</v>
      </c>
    </row>
    <row r="9" spans="1:2" x14ac:dyDescent="0.3">
      <c r="A9" t="s">
        <v>49</v>
      </c>
      <c r="B9" t="s">
        <v>50</v>
      </c>
    </row>
    <row r="10" spans="1:2" x14ac:dyDescent="0.3">
      <c r="A10" t="s">
        <v>25</v>
      </c>
      <c r="B10" t="s">
        <v>51</v>
      </c>
    </row>
    <row r="11" spans="1:2" x14ac:dyDescent="0.3">
      <c r="A11" t="s">
        <v>27</v>
      </c>
      <c r="B11" t="s">
        <v>44</v>
      </c>
    </row>
    <row r="12" spans="1:2" x14ac:dyDescent="0.3">
      <c r="A12" t="s">
        <v>52</v>
      </c>
      <c r="B12" t="s">
        <v>53</v>
      </c>
    </row>
    <row r="13" spans="1:2" x14ac:dyDescent="0.3">
      <c r="A13" t="s">
        <v>29</v>
      </c>
      <c r="B13" t="s">
        <v>54</v>
      </c>
    </row>
    <row r="14" spans="1:2" x14ac:dyDescent="0.3">
      <c r="A14" t="s">
        <v>30</v>
      </c>
      <c r="B14" t="s">
        <v>55</v>
      </c>
    </row>
    <row r="15" spans="1:2" x14ac:dyDescent="0.3">
      <c r="A15" t="s">
        <v>56</v>
      </c>
      <c r="B15" t="s">
        <v>42</v>
      </c>
    </row>
    <row r="16" spans="1:2" x14ac:dyDescent="0.3">
      <c r="A16" t="s">
        <v>32</v>
      </c>
      <c r="B16" t="s">
        <v>57</v>
      </c>
    </row>
    <row r="17" spans="1:2" x14ac:dyDescent="0.3">
      <c r="A17" t="s">
        <v>33</v>
      </c>
      <c r="B17" t="s">
        <v>45</v>
      </c>
    </row>
    <row r="18" spans="1:2" x14ac:dyDescent="0.3">
      <c r="A18" t="s">
        <v>34</v>
      </c>
      <c r="B18" t="s">
        <v>51</v>
      </c>
    </row>
    <row r="19" spans="1:2" x14ac:dyDescent="0.3">
      <c r="A19" t="s">
        <v>35</v>
      </c>
      <c r="B19" t="s">
        <v>58</v>
      </c>
    </row>
    <row r="20" spans="1:2" x14ac:dyDescent="0.3">
      <c r="A20" t="s">
        <v>59</v>
      </c>
      <c r="B20" t="s">
        <v>46</v>
      </c>
    </row>
    <row r="21" spans="1:2" x14ac:dyDescent="0.3">
      <c r="A21" t="s">
        <v>60</v>
      </c>
      <c r="B21" t="s">
        <v>43</v>
      </c>
    </row>
    <row r="22" spans="1:2" x14ac:dyDescent="0.3">
      <c r="A22" t="s">
        <v>38</v>
      </c>
      <c r="B22" t="s">
        <v>55</v>
      </c>
    </row>
    <row r="23" spans="1:2" x14ac:dyDescent="0.3">
      <c r="A23" t="s">
        <v>61</v>
      </c>
      <c r="B23" t="s">
        <v>62</v>
      </c>
    </row>
    <row r="24" spans="1:2" x14ac:dyDescent="0.3">
      <c r="A24" t="s">
        <v>40</v>
      </c>
      <c r="B24" t="s">
        <v>57</v>
      </c>
    </row>
    <row r="25" spans="1:2" x14ac:dyDescent="0.3">
      <c r="A25" t="s">
        <v>63</v>
      </c>
      <c r="B25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zoomScaleNormal="100" workbookViewId="0"/>
  </sheetViews>
  <sheetFormatPr defaultColWidth="8.6640625" defaultRowHeight="14.4" x14ac:dyDescent="0.3"/>
  <cols>
    <col min="1" max="10" width="20" customWidth="1"/>
  </cols>
  <sheetData>
    <row r="1" spans="1:4" x14ac:dyDescent="0.3">
      <c r="A1" s="1" t="s">
        <v>3</v>
      </c>
      <c r="B1" s="1" t="s">
        <v>65</v>
      </c>
      <c r="C1" s="1" t="s">
        <v>7</v>
      </c>
      <c r="D1" s="1" t="s">
        <v>8</v>
      </c>
    </row>
    <row r="2" spans="1:4" x14ac:dyDescent="0.3">
      <c r="A2">
        <v>8</v>
      </c>
      <c r="B2">
        <f>SUMIFS(GiaoDich!$G$2:$G$25,GiaoDich!$D$2:$D$25,A2)</f>
        <v>45700</v>
      </c>
      <c r="C2">
        <f>SUMIFS(GiaoDich!$H$2:$H$25,GiaoDich!$D$2:$D$25,A2)</f>
        <v>32700</v>
      </c>
      <c r="D2">
        <f>B2-C2</f>
        <v>13000</v>
      </c>
    </row>
    <row r="3" spans="1:4" x14ac:dyDescent="0.3">
      <c r="A3">
        <v>9</v>
      </c>
      <c r="B3">
        <f>SUMIFS(GiaoDich!$G$2:$G$25,GiaoDich!$D$2:$D$25,A3)</f>
        <v>83400</v>
      </c>
      <c r="C3">
        <f>SUMIFS(GiaoDich!$H$2:$H$25,GiaoDich!$D$2:$D$25,A3)</f>
        <v>46600</v>
      </c>
      <c r="D3">
        <f>B3-C3</f>
        <v>36800</v>
      </c>
    </row>
    <row r="4" spans="1:4" x14ac:dyDescent="0.3">
      <c r="A4">
        <v>10</v>
      </c>
      <c r="B4">
        <f>SUMIFS(GiaoDich!$G$2:$G$25,GiaoDich!$D$2:$D$25,A4)</f>
        <v>99800</v>
      </c>
      <c r="C4">
        <f>SUMIFS(GiaoDich!$H$2:$H$25,GiaoDich!$D$2:$D$25,A4)</f>
        <v>37300</v>
      </c>
      <c r="D4">
        <f>B4-C4</f>
        <v>62500</v>
      </c>
    </row>
    <row r="6" spans="1:4" x14ac:dyDescent="0.3">
      <c r="A6" t="s">
        <v>4</v>
      </c>
      <c r="B6" t="s">
        <v>8</v>
      </c>
    </row>
    <row r="7" spans="1:4" x14ac:dyDescent="0.3">
      <c r="A7" t="s">
        <v>22</v>
      </c>
      <c r="B7">
        <f>SUMIFS(GiaoDich!$I$2:$I$25,GiaoDich!$E$2:$E$25,A7)</f>
        <v>62800</v>
      </c>
    </row>
    <row r="8" spans="1:4" x14ac:dyDescent="0.3">
      <c r="A8" t="s">
        <v>11</v>
      </c>
      <c r="B8">
        <f>SUMIFS(GiaoDich!$I$2:$I$25,GiaoDich!$E$2:$E$25,A8)</f>
        <v>24500</v>
      </c>
    </row>
    <row r="9" spans="1:4" x14ac:dyDescent="0.3">
      <c r="A9" t="s">
        <v>26</v>
      </c>
      <c r="B9">
        <f>SUMIFS(GiaoDich!$I$2:$I$25,GiaoDich!$E$2:$E$25,A9)</f>
        <v>36500</v>
      </c>
    </row>
    <row r="10" spans="1:4" x14ac:dyDescent="0.3">
      <c r="A10" t="s">
        <v>14</v>
      </c>
      <c r="B10">
        <f>SUMIFS(GiaoDich!$I$2:$I$25,GiaoDich!$E$2:$E$25,A10)</f>
        <v>-11500</v>
      </c>
    </row>
    <row r="12" spans="1:4" x14ac:dyDescent="0.3">
      <c r="A12" t="s">
        <v>5</v>
      </c>
      <c r="B12" t="s">
        <v>7</v>
      </c>
    </row>
    <row r="13" spans="1:4" x14ac:dyDescent="0.3">
      <c r="A13" t="s">
        <v>17</v>
      </c>
      <c r="B13">
        <f>SUMIFS(GiaoDich!$H$2:$H$25,GiaoDich!$F$2:$F$25,A13)</f>
        <v>25900</v>
      </c>
    </row>
    <row r="14" spans="1:4" x14ac:dyDescent="0.3">
      <c r="A14" t="s">
        <v>12</v>
      </c>
      <c r="B14">
        <f>SUMIFS(GiaoDich!$H$2:$H$25,GiaoDich!$F$2:$F$25,A14)</f>
        <v>36500</v>
      </c>
    </row>
    <row r="15" spans="1:4" x14ac:dyDescent="0.3">
      <c r="A15" t="s">
        <v>15</v>
      </c>
      <c r="B15">
        <f>SUMIFS(GiaoDich!$H$2:$H$25,GiaoDich!$F$2:$F$25,A15)</f>
        <v>27200</v>
      </c>
    </row>
    <row r="16" spans="1:4" x14ac:dyDescent="0.3">
      <c r="A16" t="s">
        <v>20</v>
      </c>
      <c r="B16">
        <f>SUMIFS(GiaoDich!$H$2:$H$25,GiaoDich!$F$2:$F$25,A16)</f>
        <v>27000</v>
      </c>
    </row>
    <row r="18" spans="1:2" x14ac:dyDescent="0.3">
      <c r="A18" t="s">
        <v>66</v>
      </c>
      <c r="B18">
        <f>SUMPRODUCT(--(LEN(GiaoDich!$A$2:$A$25)&lt;&gt;LEN(TRIM(GiaoDich!$A$2:$A$25))))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GiaoDich</vt:lpstr>
      <vt:lpstr>TraCuu</vt:lpstr>
      <vt:lpstr>TongHop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buihoangminh1307@gmail.com</cp:lastModifiedBy>
  <cp:revision>0</cp:revision>
  <dcterms:created xsi:type="dcterms:W3CDTF">2026-10-26T08:33:13Z</dcterms:created>
  <dcterms:modified xsi:type="dcterms:W3CDTF">2026-10-26T08:38:35Z</dcterms:modified>
  <dc:language>en-US</dc:language>
</cp:coreProperties>
</file>